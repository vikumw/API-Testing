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9"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vikum.w\Documents\Projects_Aeturnum\Finch Money\Testing\Postman Test Suites\Excel Data driven\VBA Excel Final\"/>
    </mc:Choice>
  </mc:AlternateContent>
  <xr:revisionPtr revIDLastSave="0" documentId="13_ncr:1_{7D1AF8D7-1FF2-4509-820B-56D85742DA46}" xr6:coauthVersionLast="36" xr6:coauthVersionMax="36" xr10:uidLastSave="{00000000-0000-0000-0000-000000000000}"/>
  <bookViews>
    <workbookView xWindow="-120" yWindow="-120" windowWidth="24240" windowHeight="13740" xr2:uid="{00000000-000D-0000-FFFF-FFFF00000000}"/>
  </bookViews>
  <sheets>
    <sheet name="Sheet1" sheetId="1" r:id="rId1"/>
    <sheet name="Engine" sheetId="2" r:id="rId2"/>
    <sheet name="Results" sheetId="3" r:id="rId3"/>
  </sheets>
  <functionGroups builtInGroupCount="19"/>
  <calcPr calcId="191029"/>
</workbook>
</file>

<file path=xl/calcChain.xml><?xml version="1.0" encoding="utf-8"?>
<calcChain xmlns="http://schemas.openxmlformats.org/spreadsheetml/2006/main">
  <c r="I2" i="3" l="1"/>
  <c r="H2" i="3"/>
  <c r="G2" i="3"/>
  <c r="F2" i="3"/>
  <c r="E2" i="3" l="1"/>
  <c r="D2" i="3"/>
  <c r="C2" i="3"/>
  <c r="E45" i="2"/>
  <c r="E44" i="2"/>
  <c r="E43" i="2"/>
  <c r="E42" i="2"/>
  <c r="E41" i="2"/>
  <c r="E40" i="2"/>
  <c r="E11" i="2"/>
  <c r="E10" i="2"/>
  <c r="E9" i="2"/>
  <c r="E8" i="2"/>
  <c r="E7" i="2"/>
  <c r="E6" i="2"/>
  <c r="D18" i="2" l="1"/>
  <c r="A2" i="3" s="1"/>
  <c r="F63" i="2" l="1"/>
  <c r="C60" i="2"/>
  <c r="I60" i="2" s="1"/>
  <c r="E48" i="2"/>
  <c r="D48" i="2"/>
  <c r="C61" i="2" s="1"/>
  <c r="C48" i="2"/>
  <c r="E47" i="2"/>
  <c r="D47" i="2"/>
  <c r="C47" i="2"/>
  <c r="D46" i="2"/>
  <c r="C59" i="2" s="1"/>
  <c r="C46" i="2"/>
  <c r="C58" i="2"/>
  <c r="C57" i="2"/>
  <c r="C56" i="2"/>
  <c r="I56" i="2" s="1"/>
  <c r="C55" i="2"/>
  <c r="C54" i="2"/>
  <c r="C53" i="2"/>
  <c r="E23" i="2"/>
  <c r="F23" i="2" s="1"/>
  <c r="E22" i="2"/>
  <c r="F22" i="2" s="1"/>
  <c r="E21" i="2"/>
  <c r="F21" i="2" s="1"/>
  <c r="I59" i="2" l="1"/>
  <c r="E59" i="2"/>
  <c r="D59" i="2"/>
  <c r="E54" i="2"/>
  <c r="D54" i="2"/>
  <c r="I54" i="2"/>
  <c r="I55" i="2"/>
  <c r="D55" i="2"/>
  <c r="E55" i="2"/>
  <c r="E58" i="2"/>
  <c r="D58" i="2"/>
  <c r="I58" i="2"/>
  <c r="D57" i="2"/>
  <c r="I57" i="2"/>
  <c r="E57" i="2"/>
  <c r="E53" i="2"/>
  <c r="D53" i="2"/>
  <c r="I53" i="2"/>
  <c r="D61" i="2"/>
  <c r="E61" i="2"/>
  <c r="I61" i="2"/>
  <c r="D56" i="2"/>
  <c r="D60" i="2"/>
  <c r="E56" i="2"/>
  <c r="E60" i="2"/>
  <c r="F58" i="2" l="1"/>
  <c r="F55" i="2"/>
  <c r="F53" i="2"/>
  <c r="F57" i="2"/>
  <c r="F60" i="2"/>
  <c r="I62" i="2"/>
  <c r="D62" i="2"/>
  <c r="F56" i="2"/>
  <c r="F59" i="2"/>
  <c r="F61" i="2"/>
  <c r="F54" i="2"/>
  <c r="G54" i="2" l="1"/>
  <c r="G59" i="2"/>
  <c r="G56" i="2"/>
  <c r="G61" i="2"/>
  <c r="G57" i="2"/>
  <c r="G60" i="2"/>
  <c r="G53" i="2"/>
  <c r="F62" i="2"/>
  <c r="G55" i="2"/>
  <c r="G58" i="2"/>
  <c r="F64" i="2" l="1"/>
  <c r="J55" i="2" s="1"/>
  <c r="K55" i="2" s="1"/>
  <c r="M55" i="2" s="1"/>
  <c r="B2" i="3"/>
  <c r="G62" i="2"/>
  <c r="J61" i="2" l="1"/>
  <c r="K61" i="2" s="1"/>
  <c r="M61" i="2" s="1"/>
  <c r="Q61" i="2" s="1"/>
  <c r="J59" i="2"/>
  <c r="K59" i="2" s="1"/>
  <c r="M59" i="2" s="1"/>
  <c r="N59" i="2" s="1"/>
  <c r="J60" i="2"/>
  <c r="K60" i="2" s="1"/>
  <c r="M60" i="2" s="1"/>
  <c r="Q60" i="2" s="1"/>
  <c r="J57" i="2"/>
  <c r="K57" i="2" s="1"/>
  <c r="M57" i="2" s="1"/>
  <c r="Q57" i="2" s="1"/>
  <c r="J58" i="2"/>
  <c r="K58" i="2" s="1"/>
  <c r="M58" i="2" s="1"/>
  <c r="O58" i="2" s="1"/>
  <c r="J56" i="2"/>
  <c r="K56" i="2" s="1"/>
  <c r="M56" i="2" s="1"/>
  <c r="Q56" i="2" s="1"/>
  <c r="J54" i="2"/>
  <c r="K54" i="2" s="1"/>
  <c r="M54" i="2" s="1"/>
  <c r="Q54" i="2" s="1"/>
  <c r="J53" i="2"/>
  <c r="N55" i="2"/>
  <c r="Q55" i="2"/>
  <c r="O55" i="2"/>
  <c r="W55" i="2"/>
  <c r="X55" i="2" s="1"/>
  <c r="Q58" i="2" l="1"/>
  <c r="R58" i="2" s="1"/>
  <c r="N58" i="2"/>
  <c r="O56" i="2"/>
  <c r="W59" i="2"/>
  <c r="X59" i="2" s="1"/>
  <c r="W58" i="2"/>
  <c r="X58" i="2" s="1"/>
  <c r="Q59" i="2"/>
  <c r="T59" i="2" s="1"/>
  <c r="U59" i="2" s="1"/>
  <c r="O59" i="2"/>
  <c r="J62" i="2"/>
  <c r="O61" i="2"/>
  <c r="W57" i="2"/>
  <c r="X57" i="2" s="1"/>
  <c r="W61" i="2"/>
  <c r="X61" i="2" s="1"/>
  <c r="N61" i="2"/>
  <c r="N54" i="2"/>
  <c r="O54" i="2"/>
  <c r="K53" i="2"/>
  <c r="M53" i="2" s="1"/>
  <c r="Q53" i="2" s="1"/>
  <c r="W56" i="2"/>
  <c r="X56" i="2" s="1"/>
  <c r="N56" i="2"/>
  <c r="O57" i="2"/>
  <c r="N57" i="2"/>
  <c r="W54" i="2"/>
  <c r="X54" i="2" s="1"/>
  <c r="W60" i="2"/>
  <c r="X60" i="2" s="1"/>
  <c r="N60" i="2"/>
  <c r="O60" i="2"/>
  <c r="T55" i="2"/>
  <c r="U55" i="2" s="1"/>
  <c r="R55" i="2"/>
  <c r="R61" i="2"/>
  <c r="T61" i="2"/>
  <c r="U61" i="2" s="1"/>
  <c r="T56" i="2"/>
  <c r="U56" i="2" s="1"/>
  <c r="R56" i="2"/>
  <c r="T60" i="2"/>
  <c r="U60" i="2" s="1"/>
  <c r="R60" i="2"/>
  <c r="T54" i="2"/>
  <c r="U54" i="2" s="1"/>
  <c r="R54" i="2"/>
  <c r="R57" i="2"/>
  <c r="T57" i="2"/>
  <c r="U57" i="2" s="1"/>
  <c r="T58" i="2" l="1"/>
  <c r="U58" i="2" s="1"/>
  <c r="W53" i="2"/>
  <c r="X53" i="2" s="1"/>
  <c r="X62" i="2" s="1"/>
  <c r="R59" i="2"/>
  <c r="O53" i="2"/>
  <c r="O62" i="2" s="1"/>
  <c r="N53" i="2"/>
  <c r="R53" i="2"/>
  <c r="T53" i="2"/>
  <c r="U53" i="2" s="1"/>
  <c r="U62" i="2" l="1"/>
  <c r="R62" i="2"/>
  <c r="Y56" i="2"/>
  <c r="Y61" i="2"/>
  <c r="Y60" i="2"/>
  <c r="Y59" i="2"/>
  <c r="Y55" i="2"/>
  <c r="Y54" i="2"/>
  <c r="Y58" i="2"/>
  <c r="Y57" i="2"/>
  <c r="Y53" i="2"/>
</calcChain>
</file>

<file path=xl/sharedStrings.xml><?xml version="1.0" encoding="utf-8"?>
<sst xmlns="http://schemas.openxmlformats.org/spreadsheetml/2006/main" count="219" uniqueCount="102">
  <si>
    <t>Value</t>
  </si>
  <si>
    <t>Rebalancer logic across three scenarios</t>
  </si>
  <si>
    <t>0. Stock ETF choices</t>
  </si>
  <si>
    <t>Subscription Package</t>
  </si>
  <si>
    <t>Security</t>
  </si>
  <si>
    <t>Unit Price at t=0</t>
  </si>
  <si>
    <t>GS</t>
  </si>
  <si>
    <t>C2</t>
  </si>
  <si>
    <t>C3</t>
  </si>
  <si>
    <t>1. Customer 'pre event' portfolio</t>
  </si>
  <si>
    <t>Balance</t>
  </si>
  <si>
    <t>Mix</t>
  </si>
  <si>
    <t>Value ($)</t>
  </si>
  <si>
    <t>Units</t>
  </si>
  <si>
    <t>2. First lever: Transaction</t>
  </si>
  <si>
    <t>Transaction</t>
  </si>
  <si>
    <t>3. Second lever: User changes their securities and mix</t>
  </si>
  <si>
    <t>4. Third lever: Market prices changes</t>
  </si>
  <si>
    <t>Package</t>
  </si>
  <si>
    <t>Unit Price at t=1</t>
  </si>
  <si>
    <t>5. Rebalancer</t>
  </si>
  <si>
    <t>REBALANCER - Target units</t>
  </si>
  <si>
    <t>TRADING ENGINE</t>
  </si>
  <si>
    <t>FRACTIONAL INVENTORY</t>
  </si>
  <si>
    <t>"Pre event" Target Mix</t>
  </si>
  <si>
    <t>Actual units</t>
  </si>
  <si>
    <t>Actual value</t>
  </si>
  <si>
    <t>Actual mix</t>
  </si>
  <si>
    <t>Updated target mix</t>
  </si>
  <si>
    <t>Updated target value</t>
  </si>
  <si>
    <t>Updated target units</t>
  </si>
  <si>
    <t>Trading change units</t>
  </si>
  <si>
    <t>Direction</t>
  </si>
  <si>
    <t>Trading value</t>
  </si>
  <si>
    <t>Updated actual units</t>
  </si>
  <si>
    <t>Updated actual value</t>
  </si>
  <si>
    <t>Updated actual mix</t>
  </si>
  <si>
    <t>Queue</t>
  </si>
  <si>
    <t>Portfolio Value</t>
  </si>
  <si>
    <t>CAVEAT:</t>
  </si>
  <si>
    <t>Have not built in threshold for trading (+/- 5%) - you will have to build this in</t>
  </si>
  <si>
    <t>Have not considered bid/ask spread</t>
  </si>
  <si>
    <t>Have not built in clearing the fractional inventory</t>
  </si>
  <si>
    <t>Clearance of fractional inventory</t>
  </si>
  <si>
    <t>At the end of each trading day after trades have been allocated, the number of units held in the fractional inventory should be greater than or equal to 0, and less than one unit</t>
  </si>
  <si>
    <t>If the balance is negative, units need to be purchased to leave between 0 and &lt;1 unit</t>
  </si>
  <si>
    <t>If the balance is greater than one, units need to be sold to leave between 0 and &lt;1 unit</t>
  </si>
  <si>
    <t>SPY</t>
  </si>
  <si>
    <t>JPST</t>
  </si>
  <si>
    <t>Real Time Balance</t>
  </si>
  <si>
    <t>BIL</t>
  </si>
  <si>
    <t>Parameter</t>
  </si>
  <si>
    <t>lastPrice</t>
  </si>
  <si>
    <t>lastTime</t>
  </si>
  <si>
    <t>bidPrice</t>
  </si>
  <si>
    <t>askPrice</t>
  </si>
  <si>
    <t>askSize</t>
  </si>
  <si>
    <t>openPrice</t>
  </si>
  <si>
    <t>highPrice</t>
  </si>
  <si>
    <t>lowPrice</t>
  </si>
  <si>
    <t>exchangeVolume</t>
  </si>
  <si>
    <t>marketVolume</t>
  </si>
  <si>
    <t>updatedOn</t>
  </si>
  <si>
    <t>source</t>
  </si>
  <si>
    <t>bats_delayed</t>
  </si>
  <si>
    <t>actualBalance</t>
  </si>
  <si>
    <t>realTimeBalance</t>
  </si>
  <si>
    <t>currentPortfolioValue</t>
  </si>
  <si>
    <t>withdrawingPower</t>
  </si>
  <si>
    <t>marketOpen</t>
  </si>
  <si>
    <t>ESG Bonds (SUSB)</t>
  </si>
  <si>
    <t>ESG US Large Stocks (SPYX)</t>
  </si>
  <si>
    <t>Active cash (JPST)</t>
  </si>
  <si>
    <t>Money market (BIL)</t>
  </si>
  <si>
    <t>US Large stocks (SPY)</t>
  </si>
  <si>
    <t>Corporate Bonds (AGG)</t>
  </si>
  <si>
    <t>ESG Bonds</t>
  </si>
  <si>
    <t>SUSB</t>
  </si>
  <si>
    <t>ESG US Large Stocks</t>
  </si>
  <si>
    <t>SPYX</t>
  </si>
  <si>
    <t>Active cash</t>
  </si>
  <si>
    <t>Money market</t>
  </si>
  <si>
    <t>US Large stocks</t>
  </si>
  <si>
    <t>Corporate Bonds</t>
  </si>
  <si>
    <t>AGG</t>
  </si>
  <si>
    <t>Cash</t>
  </si>
  <si>
    <t>PreviousBalance</t>
  </si>
  <si>
    <t>ExpectedPrice</t>
  </si>
  <si>
    <t>etf1</t>
  </si>
  <si>
    <t>eft2</t>
  </si>
  <si>
    <t>eft3</t>
  </si>
  <si>
    <t>actualbalance</t>
  </si>
  <si>
    <t>realtimebalance</t>
  </si>
  <si>
    <t>currentportfoliovalue</t>
  </si>
  <si>
    <t>withdraingpower</t>
  </si>
  <si>
    <t>EAGG</t>
  </si>
  <si>
    <t>2021-01-15T22:45:05Z</t>
  </si>
  <si>
    <t>2021-01-15T23:00:08.560Z</t>
  </si>
  <si>
    <t>2021-01-15T23:00:08.448Z</t>
  </si>
  <si>
    <t>2021-01-15T23:00:08.430Z</t>
  </si>
  <si>
    <t>2021-01-15T23:00:08.437Z</t>
  </si>
  <si>
    <t>2021-01-15T23:00:08.427Z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</si>
</sst>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0"/>
      <color theme="0"/>
      <name val="Arial"/>
      <family val="2"/>
    </font>
    <font>
      <sz val="10"/>
      <color theme="0"/>
      <name val="Arial"/>
      <family val="2"/>
    </font>
    <font>
      <b/>
      <sz val="10"/>
      <color theme="1"/>
      <name val="Arial"/>
      <family val="2"/>
    </font>
    <font>
      <sz val="10"/>
      <color theme="1"/>
      <name val="Arial"/>
      <family val="2"/>
    </font>
    <font>
      <b/>
      <sz val="8"/>
      <color theme="0" tint="-0.499984740745262"/>
      <name val="Arial"/>
      <family val="2"/>
    </font>
    <font>
      <sz val="8"/>
      <color theme="0" tint="-0.499984740745262"/>
      <name val="Arial"/>
      <family val="2"/>
    </font>
    <font>
      <b/>
      <sz val="20"/>
      <color rgb="FF000000"/>
      <name val="Berlin Sans FB Demi"/>
      <family val="2"/>
    </font>
    <font>
      <b/>
      <sz val="11"/>
      <color theme="1"/>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rgb="FFFFFFCC"/>
        <bgColor indexed="64"/>
      </patternFill>
    </fill>
    <fill>
      <patternFill patternType="solid">
        <fgColor theme="6"/>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33">
    <xf numFmtId="0" fontId="0" fillId="0" borderId="0" xfId="0"/>
    <xf numFmtId="0" fontId="0" fillId="0" borderId="0" xfId="0" applyAlignment="1">
      <alignment vertical="center"/>
    </xf>
    <xf numFmtId="0" fontId="0" fillId="0" borderId="0" xfId="0" applyAlignment="1">
      <alignment vertical="center" wrapText="1"/>
    </xf>
    <xf numFmtId="0" fontId="1" fillId="2" borderId="0" xfId="0" applyFont="1" applyFill="1" applyAlignment="1">
      <alignment vertical="center"/>
    </xf>
    <xf numFmtId="0" fontId="2" fillId="2" borderId="0" xfId="0" applyFont="1" applyFill="1" applyAlignment="1">
      <alignment vertical="center"/>
    </xf>
    <xf numFmtId="0" fontId="3" fillId="0" borderId="0" xfId="0" applyFont="1"/>
    <xf numFmtId="0" fontId="4" fillId="0" borderId="0" xfId="0" applyFont="1"/>
    <xf numFmtId="0" fontId="3" fillId="0" borderId="0" xfId="0" applyFont="1" applyAlignment="1">
      <alignment horizontal="center" vertical="center" wrapText="1"/>
    </xf>
    <xf numFmtId="0" fontId="4" fillId="3" borderId="0" xfId="0" applyFont="1" applyFill="1"/>
    <xf numFmtId="4" fontId="4" fillId="3" borderId="0" xfId="0" applyNumberFormat="1" applyFont="1" applyFill="1"/>
    <xf numFmtId="0" fontId="3" fillId="0" borderId="0" xfId="0" applyFont="1" applyAlignment="1">
      <alignment wrapText="1"/>
    </xf>
    <xf numFmtId="9" fontId="4" fillId="3" borderId="0" xfId="0" applyNumberFormat="1" applyFont="1" applyFill="1"/>
    <xf numFmtId="4" fontId="4" fillId="0" borderId="0" xfId="0" applyNumberFormat="1" applyFont="1"/>
    <xf numFmtId="0" fontId="5" fillId="0" borderId="1" xfId="0" applyFont="1" applyBorder="1" applyAlignment="1">
      <alignment horizontal="centerContinuous"/>
    </xf>
    <xf numFmtId="0" fontId="6" fillId="0" borderId="2" xfId="0" applyFont="1" applyBorder="1" applyAlignment="1">
      <alignment horizontal="centerContinuous"/>
    </xf>
    <xf numFmtId="0" fontId="6" fillId="0" borderId="3" xfId="0" applyFont="1" applyBorder="1" applyAlignment="1">
      <alignment horizontal="centerContinuous"/>
    </xf>
    <xf numFmtId="0" fontId="4" fillId="0" borderId="0" xfId="0" applyFont="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xf numFmtId="0" fontId="3" fillId="0" borderId="5" xfId="0" applyFont="1" applyBorder="1" applyAlignment="1">
      <alignment horizontal="center" vertical="center" wrapText="1"/>
    </xf>
    <xf numFmtId="9" fontId="4" fillId="0" borderId="0" xfId="0" applyNumberFormat="1" applyFont="1"/>
    <xf numFmtId="4" fontId="4" fillId="0" borderId="4" xfId="0" applyNumberFormat="1" applyFont="1" applyBorder="1"/>
    <xf numFmtId="0" fontId="6" fillId="0" borderId="0" xfId="0" applyFont="1" applyBorder="1" applyAlignment="1">
      <alignment horizontal="center"/>
    </xf>
    <xf numFmtId="4" fontId="4" fillId="0" borderId="5" xfId="0" applyNumberFormat="1" applyFont="1" applyBorder="1"/>
    <xf numFmtId="0" fontId="4" fillId="0" borderId="6" xfId="0" applyFont="1" applyBorder="1"/>
    <xf numFmtId="9" fontId="4" fillId="0" borderId="6" xfId="0" applyNumberFormat="1" applyFont="1" applyBorder="1"/>
    <xf numFmtId="4" fontId="4" fillId="0" borderId="6" xfId="0" applyNumberFormat="1" applyFont="1" applyBorder="1"/>
    <xf numFmtId="4" fontId="4" fillId="0" borderId="7" xfId="0" applyNumberFormat="1" applyFont="1" applyBorder="1"/>
    <xf numFmtId="0" fontId="6" fillId="0" borderId="6" xfId="0" applyFont="1" applyBorder="1" applyAlignment="1">
      <alignment horizontal="center"/>
    </xf>
    <xf numFmtId="4" fontId="4" fillId="0" borderId="8" xfId="0" applyNumberFormat="1" applyFont="1" applyBorder="1"/>
    <xf numFmtId="4" fontId="0" fillId="0" borderId="0" xfId="0" applyNumberFormat="1"/>
    <xf numFmtId="9" fontId="0" fillId="0" borderId="0" xfId="0" applyNumberFormat="1"/>
    <xf numFmtId="0" fontId="8" fillId="4"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876300</xdr:colOff>
          <xdr:row>17</xdr:row>
          <xdr:rowOff>7620</xdr:rowOff>
        </xdr:from>
        <xdr:to>
          <xdr:col>6</xdr:col>
          <xdr:colOff>434340</xdr:colOff>
          <xdr:row>19</xdr:row>
          <xdr:rowOff>220980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64008" tIns="41148" rIns="64008" bIns="41148" anchor="ctr" upright="1"/>
            <a:lstStyle/>
            <a:p>
              <a:pPr algn="ctr" rtl="0">
                <a:defRPr sz="1000"/>
              </a:pPr>
              <a:r>
                <a:rPr lang="en-US" sz="2000" b="1" i="0" u="none" strike="noStrike" baseline="0">
                  <a:solidFill>
                    <a:srgbClr val="000000"/>
                  </a:solidFill>
                  <a:latin typeface="Berlin Sans FB Demi"/>
                </a:rPr>
                <a:t>Execute Rest API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3"/>
  <sheetViews>
    <sheetView tabSelected="1" workbookViewId="0">
      <selection activeCell="I22" sqref="I22"/>
    </sheetView>
  </sheetViews>
  <sheetFormatPr defaultColWidth="9.109375" defaultRowHeight="18" customHeight="1" x14ac:dyDescent="0.3"/>
  <cols>
    <col min="1" max="1" width="21.5546875" style="1" customWidth="1"/>
    <col min="2" max="2" width="25.44140625" style="1" customWidth="1"/>
    <col min="3" max="3" width="9.109375" style="1"/>
    <col min="4" max="4" width="15" style="1" bestFit="1" customWidth="1"/>
    <col min="5" max="5" width="26.6640625" style="1" customWidth="1"/>
    <col min="6" max="6" width="9.109375" style="1"/>
    <col min="7" max="7" width="15" style="1" bestFit="1" customWidth="1"/>
    <col min="8" max="8" width="23.21875" style="1" bestFit="1" customWidth="1"/>
    <col min="9" max="9" width="9.109375" style="1"/>
    <col min="10" max="10" width="15" style="1" bestFit="1" customWidth="1"/>
    <col min="11" max="11" width="23.21875" style="1" bestFit="1" customWidth="1"/>
    <col min="12" max="12" width="9.109375" style="1"/>
    <col min="13" max="13" width="15" style="1" bestFit="1" customWidth="1"/>
    <col min="14" max="14" width="23.21875" style="1" bestFit="1" customWidth="1"/>
    <col min="15" max="15" width="9.109375" style="1"/>
    <col min="16" max="16" width="15" style="1" bestFit="1" customWidth="1"/>
    <col min="17" max="17" width="23.21875" style="1" bestFit="1" customWidth="1"/>
    <col min="18" max="16384" width="9.109375" style="1"/>
  </cols>
  <sheetData>
    <row r="1" spans="1:17" ht="18" customHeight="1" x14ac:dyDescent="0.3">
      <c r="A1" s="32" t="s">
        <v>70</v>
      </c>
      <c r="B1" s="32"/>
      <c r="D1" s="32" t="s">
        <v>71</v>
      </c>
      <c r="E1" s="32"/>
      <c r="G1" s="32" t="s">
        <v>72</v>
      </c>
      <c r="H1" s="32"/>
      <c r="J1" s="32" t="s">
        <v>73</v>
      </c>
      <c r="K1" s="32"/>
      <c r="M1" s="32" t="s">
        <v>74</v>
      </c>
      <c r="N1" s="32"/>
      <c r="P1" s="32" t="s">
        <v>75</v>
      </c>
      <c r="Q1" s="32"/>
    </row>
    <row r="2" spans="1:17" ht="18" customHeight="1" x14ac:dyDescent="0.3">
      <c r="A2" s="2" t="s">
        <v>51</v>
      </c>
      <c r="B2" s="1" t="s">
        <v>0</v>
      </c>
      <c r="D2" s="1" t="s">
        <v>51</v>
      </c>
      <c r="E2" s="1" t="s">
        <v>0</v>
      </c>
      <c r="G2" s="1" t="s">
        <v>51</v>
      </c>
      <c r="H2" s="1" t="s">
        <v>0</v>
      </c>
      <c r="J2" s="1" t="s">
        <v>51</v>
      </c>
      <c r="K2" s="1" t="s">
        <v>0</v>
      </c>
      <c r="M2" s="1" t="s">
        <v>51</v>
      </c>
      <c r="N2" s="1" t="s">
        <v>0</v>
      </c>
      <c r="P2" s="1" t="s">
        <v>51</v>
      </c>
      <c r="Q2" s="1" t="s">
        <v>0</v>
      </c>
    </row>
    <row r="3" spans="1:17" ht="18" customHeight="1" x14ac:dyDescent="0.3">
      <c r="A3" s="1" t="s">
        <v>52</v>
      </c>
      <c r="B3" s="1">
        <v>26.14</v>
      </c>
      <c r="D3" s="1" t="s">
        <v>52</v>
      </c>
      <c r="E3" s="1">
        <v>92.89</v>
      </c>
      <c r="G3" s="1" t="s">
        <v>52</v>
      </c>
      <c r="H3" s="1">
        <v>50.81</v>
      </c>
      <c r="J3" s="1" t="s">
        <v>52</v>
      </c>
      <c r="K3" s="1">
        <v>91.51</v>
      </c>
      <c r="M3" s="1" t="s">
        <v>52</v>
      </c>
      <c r="N3" s="1">
        <v>374.27</v>
      </c>
      <c r="P3" s="1" t="s">
        <v>52</v>
      </c>
      <c r="Q3" s="1">
        <v>117.28</v>
      </c>
    </row>
    <row r="4" spans="1:17" ht="18" customHeight="1" x14ac:dyDescent="0.3">
      <c r="A4" s="2" t="s">
        <v>53</v>
      </c>
      <c r="B4" s="1" t="s">
        <v>96</v>
      </c>
      <c r="D4" s="1" t="s">
        <v>53</v>
      </c>
      <c r="E4" s="1" t="s">
        <v>96</v>
      </c>
      <c r="G4" s="1" t="s">
        <v>53</v>
      </c>
      <c r="H4" s="1" t="s">
        <v>96</v>
      </c>
      <c r="J4" s="1" t="s">
        <v>53</v>
      </c>
      <c r="K4" s="1" t="s">
        <v>96</v>
      </c>
      <c r="M4" s="1" t="s">
        <v>53</v>
      </c>
      <c r="N4" s="1" t="s">
        <v>96</v>
      </c>
      <c r="P4" s="1" t="s">
        <v>53</v>
      </c>
      <c r="Q4" s="1" t="s">
        <v>96</v>
      </c>
    </row>
    <row r="5" spans="1:17" ht="18" customHeight="1" x14ac:dyDescent="0.3">
      <c r="A5" s="1" t="s">
        <v>54</v>
      </c>
      <c r="D5" s="1" t="s">
        <v>54</v>
      </c>
      <c r="G5" s="1" t="s">
        <v>54</v>
      </c>
      <c r="H5" s="1">
        <v>50.79</v>
      </c>
      <c r="J5" s="1" t="s">
        <v>54</v>
      </c>
      <c r="K5" s="1">
        <v>91.51</v>
      </c>
      <c r="M5" s="1" t="s">
        <v>54</v>
      </c>
      <c r="N5" s="1">
        <v>373.61</v>
      </c>
      <c r="P5" s="1" t="s">
        <v>54</v>
      </c>
    </row>
    <row r="6" spans="1:17" ht="18" customHeight="1" x14ac:dyDescent="0.3">
      <c r="A6" s="1" t="s">
        <v>55</v>
      </c>
      <c r="D6" s="1" t="s">
        <v>55</v>
      </c>
      <c r="G6" s="1" t="s">
        <v>55</v>
      </c>
      <c r="H6" s="1">
        <v>50.81</v>
      </c>
      <c r="J6" s="1" t="s">
        <v>55</v>
      </c>
      <c r="K6" s="1">
        <v>91.52</v>
      </c>
      <c r="M6" s="1" t="s">
        <v>55</v>
      </c>
      <c r="N6" s="1">
        <v>374.6</v>
      </c>
      <c r="P6" s="1" t="s">
        <v>55</v>
      </c>
    </row>
    <row r="7" spans="1:17" ht="18" customHeight="1" x14ac:dyDescent="0.3">
      <c r="A7" s="1" t="s">
        <v>56</v>
      </c>
      <c r="D7" s="1" t="s">
        <v>56</v>
      </c>
      <c r="G7" s="1" t="s">
        <v>56</v>
      </c>
      <c r="H7" s="1">
        <v>1023</v>
      </c>
      <c r="J7" s="1" t="s">
        <v>56</v>
      </c>
      <c r="K7" s="1">
        <v>150</v>
      </c>
      <c r="M7" s="1" t="s">
        <v>56</v>
      </c>
      <c r="N7" s="1">
        <v>69</v>
      </c>
      <c r="P7" s="1" t="s">
        <v>56</v>
      </c>
    </row>
    <row r="8" spans="1:17" ht="18" customHeight="1" x14ac:dyDescent="0.3">
      <c r="A8" s="1" t="s">
        <v>57</v>
      </c>
      <c r="B8" s="1">
        <v>26.15</v>
      </c>
      <c r="D8" s="1" t="s">
        <v>57</v>
      </c>
      <c r="E8" s="1">
        <v>92.67</v>
      </c>
      <c r="G8" s="1" t="s">
        <v>57</v>
      </c>
      <c r="H8" s="1">
        <v>50.795000000000002</v>
      </c>
      <c r="J8" s="1" t="s">
        <v>57</v>
      </c>
      <c r="K8" s="1">
        <v>91.515000000000001</v>
      </c>
      <c r="M8" s="1" t="s">
        <v>57</v>
      </c>
      <c r="N8" s="1">
        <v>377.35</v>
      </c>
      <c r="P8" s="1" t="s">
        <v>57</v>
      </c>
      <c r="Q8" s="1">
        <v>117.33</v>
      </c>
    </row>
    <row r="9" spans="1:17" ht="18" customHeight="1" x14ac:dyDescent="0.3">
      <c r="A9" s="1" t="s">
        <v>58</v>
      </c>
      <c r="B9" s="1">
        <v>26.23</v>
      </c>
      <c r="D9" s="1" t="s">
        <v>58</v>
      </c>
      <c r="E9" s="1">
        <v>94.17</v>
      </c>
      <c r="G9" s="1" t="s">
        <v>58</v>
      </c>
      <c r="H9" s="1">
        <v>50.825000000000003</v>
      </c>
      <c r="J9" s="1" t="s">
        <v>58</v>
      </c>
      <c r="K9" s="1">
        <v>91.53</v>
      </c>
      <c r="M9" s="1" t="s">
        <v>58</v>
      </c>
      <c r="N9" s="1">
        <v>381.92</v>
      </c>
      <c r="P9" s="1" t="s">
        <v>58</v>
      </c>
      <c r="Q9" s="1">
        <v>118.44499999999999</v>
      </c>
    </row>
    <row r="10" spans="1:17" ht="18" customHeight="1" x14ac:dyDescent="0.3">
      <c r="A10" s="1" t="s">
        <v>59</v>
      </c>
      <c r="B10" s="1">
        <v>26.03</v>
      </c>
      <c r="D10" s="1" t="s">
        <v>59</v>
      </c>
      <c r="E10" s="1">
        <v>86.91</v>
      </c>
      <c r="G10" s="1" t="s">
        <v>59</v>
      </c>
      <c r="H10" s="1">
        <v>50.74</v>
      </c>
      <c r="J10" s="1" t="s">
        <v>59</v>
      </c>
      <c r="K10" s="1">
        <v>91.51</v>
      </c>
      <c r="M10" s="1" t="s">
        <v>59</v>
      </c>
      <c r="N10" s="1">
        <v>346.72</v>
      </c>
      <c r="P10" s="1" t="s">
        <v>59</v>
      </c>
      <c r="Q10" s="1">
        <v>116.68</v>
      </c>
    </row>
    <row r="11" spans="1:17" ht="18" customHeight="1" x14ac:dyDescent="0.3">
      <c r="A11" s="1" t="s">
        <v>60</v>
      </c>
      <c r="B11" s="1">
        <v>0</v>
      </c>
      <c r="D11" s="1" t="s">
        <v>60</v>
      </c>
      <c r="E11" s="1">
        <v>0</v>
      </c>
      <c r="G11" s="1" t="s">
        <v>60</v>
      </c>
      <c r="H11" s="1">
        <v>0</v>
      </c>
      <c r="J11" s="1" t="s">
        <v>60</v>
      </c>
      <c r="K11" s="1">
        <v>0</v>
      </c>
      <c r="M11" s="1" t="s">
        <v>60</v>
      </c>
      <c r="N11" s="1">
        <v>0</v>
      </c>
      <c r="P11" s="1" t="s">
        <v>60</v>
      </c>
      <c r="Q11" s="1">
        <v>0</v>
      </c>
    </row>
    <row r="12" spans="1:17" ht="18" customHeight="1" x14ac:dyDescent="0.3">
      <c r="A12" s="1" t="s">
        <v>61</v>
      </c>
      <c r="B12" s="1">
        <v>0</v>
      </c>
      <c r="D12" s="1" t="s">
        <v>61</v>
      </c>
      <c r="E12" s="1">
        <v>0</v>
      </c>
      <c r="G12" s="1" t="s">
        <v>61</v>
      </c>
      <c r="H12" s="1">
        <v>0</v>
      </c>
      <c r="J12" s="1" t="s">
        <v>61</v>
      </c>
      <c r="K12" s="1">
        <v>0</v>
      </c>
      <c r="M12" s="1" t="s">
        <v>61</v>
      </c>
      <c r="N12" s="1">
        <v>0</v>
      </c>
      <c r="P12" s="1" t="s">
        <v>61</v>
      </c>
      <c r="Q12" s="1">
        <v>0</v>
      </c>
    </row>
    <row r="13" spans="1:17" ht="18" customHeight="1" x14ac:dyDescent="0.3">
      <c r="A13" s="1" t="s">
        <v>62</v>
      </c>
      <c r="B13" s="1" t="s">
        <v>97</v>
      </c>
      <c r="D13" s="1" t="s">
        <v>62</v>
      </c>
      <c r="E13" s="1" t="s">
        <v>98</v>
      </c>
      <c r="G13" s="1" t="s">
        <v>62</v>
      </c>
      <c r="H13" s="1" t="s">
        <v>99</v>
      </c>
      <c r="J13" s="1" t="s">
        <v>62</v>
      </c>
      <c r="K13" s="1" t="s">
        <v>100</v>
      </c>
      <c r="M13" s="1" t="s">
        <v>62</v>
      </c>
      <c r="N13" s="1" t="s">
        <v>101</v>
      </c>
      <c r="P13" s="1" t="s">
        <v>62</v>
      </c>
      <c r="Q13" s="1" t="s">
        <v>99</v>
      </c>
    </row>
    <row r="14" spans="1:17" ht="18" customHeight="1" x14ac:dyDescent="0.3">
      <c r="A14" s="1" t="s">
        <v>63</v>
      </c>
      <c r="B14" s="1" t="s">
        <v>64</v>
      </c>
      <c r="D14" s="1" t="s">
        <v>63</v>
      </c>
      <c r="E14" s="1" t="s">
        <v>64</v>
      </c>
      <c r="G14" s="1" t="s">
        <v>63</v>
      </c>
      <c r="H14" s="1" t="s">
        <v>64</v>
      </c>
      <c r="J14" s="1" t="s">
        <v>63</v>
      </c>
      <c r="K14" s="1" t="s">
        <v>64</v>
      </c>
      <c r="M14" s="1" t="s">
        <v>63</v>
      </c>
      <c r="N14" s="1" t="s">
        <v>64</v>
      </c>
      <c r="P14" s="1" t="s">
        <v>63</v>
      </c>
      <c r="Q14" s="1" t="s">
        <v>64</v>
      </c>
    </row>
    <row r="15" spans="1:17" ht="18" customHeight="1" x14ac:dyDescent="0.3">
      <c r="A15" s="32" t="s">
        <v>49</v>
      </c>
      <c r="B15" s="32"/>
    </row>
    <row r="16" spans="1:17" ht="18" customHeight="1" x14ac:dyDescent="0.3">
      <c r="A16" s="1" t="s">
        <v>51</v>
      </c>
      <c r="B16" s="1" t="s">
        <v>0</v>
      </c>
    </row>
    <row r="17" spans="1:9" ht="18" customHeight="1" x14ac:dyDescent="0.3">
      <c r="A17" s="1" t="s">
        <v>65</v>
      </c>
      <c r="B17" s="1">
        <v>67145.679999999993</v>
      </c>
    </row>
    <row r="18" spans="1:9" ht="18" customHeight="1" x14ac:dyDescent="0.3">
      <c r="A18" s="1" t="s">
        <v>66</v>
      </c>
      <c r="B18" s="1">
        <v>68881.788004400005</v>
      </c>
      <c r="H18" s="1" t="s">
        <v>50</v>
      </c>
    </row>
    <row r="19" spans="1:9" ht="18" customHeight="1" x14ac:dyDescent="0.3">
      <c r="A19" s="1" t="s">
        <v>67</v>
      </c>
      <c r="B19" s="1">
        <v>68061.525014400002</v>
      </c>
      <c r="H19" s="1" t="s">
        <v>48</v>
      </c>
    </row>
    <row r="20" spans="1:9" ht="18" customHeight="1" x14ac:dyDescent="0.3">
      <c r="A20" s="1" t="s">
        <v>68</v>
      </c>
      <c r="B20" s="1">
        <v>6200.2659999999996</v>
      </c>
      <c r="H20" s="1" t="s">
        <v>84</v>
      </c>
    </row>
    <row r="21" spans="1:9" ht="18" customHeight="1" x14ac:dyDescent="0.3">
      <c r="A21" s="1" t="s">
        <v>69</v>
      </c>
      <c r="B21" s="1" t="b">
        <v>0</v>
      </c>
      <c r="H21" s="1" t="s">
        <v>47</v>
      </c>
    </row>
    <row r="22" spans="1:9" ht="18" customHeight="1" x14ac:dyDescent="0.3">
      <c r="I22" s="1" t="s">
        <v>95</v>
      </c>
    </row>
    <row r="23" spans="1:9" ht="18" customHeight="1" x14ac:dyDescent="0.3">
      <c r="H23" s="1" t="s">
        <v>79</v>
      </c>
    </row>
  </sheetData>
  <mergeCells count="7">
    <mergeCell ref="M1:N1"/>
    <mergeCell ref="P1:Q1"/>
    <mergeCell ref="A1:B1"/>
    <mergeCell ref="D1:E1"/>
    <mergeCell ref="A15:B15"/>
    <mergeCell ref="G1:H1"/>
    <mergeCell ref="J1:K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4</xdr:col>
                    <xdr:colOff>876300</xdr:colOff>
                    <xdr:row>17</xdr:row>
                    <xdr:rowOff>7620</xdr:rowOff>
                  </from>
                  <to>
                    <xdr:col>6</xdr:col>
                    <xdr:colOff>434340</xdr:colOff>
                    <xdr:row>19</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4A604-66B9-45A5-95FD-D22B73C0EA3B}">
  <sheetPr codeName="Sheet2"/>
  <dimension ref="B1:Y75"/>
  <sheetViews>
    <sheetView workbookViewId="0">
      <selection activeCell="E40" sqref="E40"/>
    </sheetView>
  </sheetViews>
  <sheetFormatPr defaultColWidth="9.109375" defaultRowHeight="13.2" x14ac:dyDescent="0.25"/>
  <cols>
    <col min="1" max="1" width="2.88671875" style="6" customWidth="1"/>
    <col min="2" max="2" width="9.109375" style="6"/>
    <col min="3" max="3" width="24.77734375" style="6" customWidth="1"/>
    <col min="4" max="4" width="15.77734375" style="6" customWidth="1"/>
    <col min="5" max="7" width="12.44140625" style="6" customWidth="1"/>
    <col min="8" max="8" width="2.88671875" style="6" customWidth="1"/>
    <col min="9" max="11" width="12.44140625" style="6" customWidth="1"/>
    <col min="12" max="12" width="2.88671875" style="6" customWidth="1"/>
    <col min="13" max="13" width="13" style="6" customWidth="1"/>
    <col min="14" max="15" width="9.109375" style="6"/>
    <col min="16" max="16" width="2.88671875" style="6" customWidth="1"/>
    <col min="17" max="18" width="12.88671875" style="6" customWidth="1"/>
    <col min="19" max="19" width="2.88671875" style="6" customWidth="1"/>
    <col min="20" max="21" width="12.88671875" style="6" customWidth="1"/>
    <col min="22" max="22" width="2.88671875" style="6" customWidth="1"/>
    <col min="23" max="25" width="13.44140625" style="6" customWidth="1"/>
    <col min="26" max="16384" width="9.109375" style="6"/>
  </cols>
  <sheetData>
    <row r="1" spans="2:5" s="4" customFormat="1" ht="22.5" customHeight="1" x14ac:dyDescent="0.3">
      <c r="B1" s="3" t="s">
        <v>1</v>
      </c>
    </row>
    <row r="3" spans="2:5" x14ac:dyDescent="0.25">
      <c r="B3" s="5" t="s">
        <v>2</v>
      </c>
    </row>
    <row r="5" spans="2:5" ht="26.4" x14ac:dyDescent="0.25">
      <c r="C5" s="7" t="s">
        <v>3</v>
      </c>
      <c r="D5" s="7" t="s">
        <v>4</v>
      </c>
      <c r="E5" s="7" t="s">
        <v>5</v>
      </c>
    </row>
    <row r="6" spans="2:5" x14ac:dyDescent="0.25">
      <c r="C6" s="8" t="s">
        <v>76</v>
      </c>
      <c r="D6" s="8" t="s">
        <v>77</v>
      </c>
      <c r="E6" s="9">
        <f>Sheet1!B8</f>
        <v>26.15</v>
      </c>
    </row>
    <row r="7" spans="2:5" x14ac:dyDescent="0.25">
      <c r="C7" s="8" t="s">
        <v>78</v>
      </c>
      <c r="D7" s="8" t="s">
        <v>79</v>
      </c>
      <c r="E7" s="9">
        <f>Sheet1!E8</f>
        <v>92.67</v>
      </c>
    </row>
    <row r="8" spans="2:5" x14ac:dyDescent="0.25">
      <c r="C8" s="8" t="s">
        <v>80</v>
      </c>
      <c r="D8" s="8" t="s">
        <v>48</v>
      </c>
      <c r="E8" s="9">
        <f>Sheet1!H8</f>
        <v>50.795000000000002</v>
      </c>
    </row>
    <row r="9" spans="2:5" x14ac:dyDescent="0.25">
      <c r="C9" s="8" t="s">
        <v>81</v>
      </c>
      <c r="D9" s="8" t="s">
        <v>50</v>
      </c>
      <c r="E9" s="9">
        <f>Sheet1!K8</f>
        <v>91.515000000000001</v>
      </c>
    </row>
    <row r="10" spans="2:5" x14ac:dyDescent="0.25">
      <c r="C10" s="8" t="s">
        <v>82</v>
      </c>
      <c r="D10" s="8" t="s">
        <v>47</v>
      </c>
      <c r="E10" s="9">
        <f>Sheet1!N8</f>
        <v>377.35</v>
      </c>
    </row>
    <row r="11" spans="2:5" x14ac:dyDescent="0.25">
      <c r="C11" s="8" t="s">
        <v>83</v>
      </c>
      <c r="D11" s="8" t="s">
        <v>84</v>
      </c>
      <c r="E11" s="9">
        <f>Sheet1!Q8</f>
        <v>117.33</v>
      </c>
    </row>
    <row r="12" spans="2:5" x14ac:dyDescent="0.25">
      <c r="C12" s="8" t="s">
        <v>85</v>
      </c>
      <c r="D12" s="8" t="s">
        <v>85</v>
      </c>
      <c r="E12" s="9">
        <v>1</v>
      </c>
    </row>
    <row r="13" spans="2:5" x14ac:dyDescent="0.25">
      <c r="C13" s="8" t="s">
        <v>6</v>
      </c>
      <c r="D13" s="8" t="s">
        <v>7</v>
      </c>
      <c r="E13" s="9">
        <v>8</v>
      </c>
    </row>
    <row r="14" spans="2:5" x14ac:dyDescent="0.25">
      <c r="C14" s="8" t="s">
        <v>6</v>
      </c>
      <c r="D14" s="8" t="s">
        <v>8</v>
      </c>
      <c r="E14" s="9">
        <v>9</v>
      </c>
    </row>
    <row r="16" spans="2:5" x14ac:dyDescent="0.25">
      <c r="B16" s="5" t="s">
        <v>9</v>
      </c>
    </row>
    <row r="18" spans="2:6" x14ac:dyDescent="0.25">
      <c r="C18" s="5" t="s">
        <v>10</v>
      </c>
      <c r="D18" s="9">
        <f>Sheet1!B18</f>
        <v>68881.788004400005</v>
      </c>
    </row>
    <row r="20" spans="2:6" x14ac:dyDescent="0.25">
      <c r="C20" s="10" t="s">
        <v>4</v>
      </c>
      <c r="D20" s="10" t="s">
        <v>11</v>
      </c>
      <c r="E20" s="10" t="s">
        <v>12</v>
      </c>
      <c r="F20" s="10" t="s">
        <v>13</v>
      </c>
    </row>
    <row r="21" spans="2:6" x14ac:dyDescent="0.25">
      <c r="C21" s="8" t="s">
        <v>85</v>
      </c>
      <c r="D21" s="11">
        <v>0.2</v>
      </c>
      <c r="E21" s="12">
        <f>D21*$D$18</f>
        <v>13776.357600880001</v>
      </c>
      <c r="F21" s="12">
        <f>E21/INDEX($E$6:$E$14,MATCH(C21,$D$6:$D$14,0))</f>
        <v>13776.357600880001</v>
      </c>
    </row>
    <row r="22" spans="2:6" x14ac:dyDescent="0.25">
      <c r="C22" s="8" t="s">
        <v>79</v>
      </c>
      <c r="D22" s="11">
        <v>0.6</v>
      </c>
      <c r="E22" s="12">
        <f>D22*$D$18</f>
        <v>41329.072802640003</v>
      </c>
      <c r="F22" s="12">
        <f>E22/INDEX($E$6:$E$14,MATCH(C22,$D$6:$D$14,0))</f>
        <v>445.98114603043058</v>
      </c>
    </row>
    <row r="23" spans="2:6" x14ac:dyDescent="0.25">
      <c r="C23" s="8" t="s">
        <v>77</v>
      </c>
      <c r="D23" s="11">
        <v>0.2</v>
      </c>
      <c r="E23" s="12">
        <f>D23*$D$18</f>
        <v>13776.357600880001</v>
      </c>
      <c r="F23" s="12">
        <f>E23/INDEX($E$6:$E$14,MATCH(C23,$D$6:$D$14,0))</f>
        <v>526.82055835105166</v>
      </c>
    </row>
    <row r="26" spans="2:6" x14ac:dyDescent="0.25">
      <c r="B26" s="5" t="s">
        <v>14</v>
      </c>
    </row>
    <row r="28" spans="2:6" x14ac:dyDescent="0.25">
      <c r="C28" s="5" t="s">
        <v>15</v>
      </c>
      <c r="D28" s="9">
        <v>100</v>
      </c>
    </row>
    <row r="30" spans="2:6" x14ac:dyDescent="0.25">
      <c r="B30" s="5" t="s">
        <v>16</v>
      </c>
    </row>
    <row r="32" spans="2:6" x14ac:dyDescent="0.25">
      <c r="C32" s="10" t="s">
        <v>4</v>
      </c>
      <c r="D32" s="10" t="s">
        <v>11</v>
      </c>
    </row>
    <row r="33" spans="2:5" x14ac:dyDescent="0.25">
      <c r="C33" s="8" t="s">
        <v>85</v>
      </c>
      <c r="D33" s="11">
        <v>0.2</v>
      </c>
    </row>
    <row r="34" spans="2:5" x14ac:dyDescent="0.25">
      <c r="C34" s="8" t="s">
        <v>79</v>
      </c>
      <c r="D34" s="11">
        <v>0.6</v>
      </c>
    </row>
    <row r="35" spans="2:5" x14ac:dyDescent="0.25">
      <c r="C35" s="8" t="s">
        <v>77</v>
      </c>
      <c r="D35" s="11">
        <v>0.2</v>
      </c>
    </row>
    <row r="37" spans="2:5" x14ac:dyDescent="0.25">
      <c r="B37" s="5" t="s">
        <v>17</v>
      </c>
    </row>
    <row r="39" spans="2:5" ht="26.4" x14ac:dyDescent="0.25">
      <c r="C39" s="10" t="s">
        <v>18</v>
      </c>
      <c r="D39" s="10" t="s">
        <v>4</v>
      </c>
      <c r="E39" s="7" t="s">
        <v>19</v>
      </c>
    </row>
    <row r="40" spans="2:5" x14ac:dyDescent="0.25">
      <c r="C40" s="6" t="s">
        <v>76</v>
      </c>
      <c r="D40" s="6" t="s">
        <v>77</v>
      </c>
      <c r="E40" s="9">
        <f>Sheet1!B3</f>
        <v>26.14</v>
      </c>
    </row>
    <row r="41" spans="2:5" x14ac:dyDescent="0.25">
      <c r="C41" s="6" t="s">
        <v>78</v>
      </c>
      <c r="D41" s="6" t="s">
        <v>79</v>
      </c>
      <c r="E41" s="9">
        <f>Sheet1!E3</f>
        <v>92.89</v>
      </c>
    </row>
    <row r="42" spans="2:5" x14ac:dyDescent="0.25">
      <c r="C42" s="6" t="s">
        <v>80</v>
      </c>
      <c r="D42" s="6" t="s">
        <v>48</v>
      </c>
      <c r="E42" s="9">
        <f>Sheet1!H3</f>
        <v>50.81</v>
      </c>
    </row>
    <row r="43" spans="2:5" x14ac:dyDescent="0.25">
      <c r="C43" s="6" t="s">
        <v>81</v>
      </c>
      <c r="D43" s="6" t="s">
        <v>50</v>
      </c>
      <c r="E43" s="9">
        <f>Sheet1!K3</f>
        <v>91.51</v>
      </c>
    </row>
    <row r="44" spans="2:5" x14ac:dyDescent="0.25">
      <c r="C44" s="6" t="s">
        <v>82</v>
      </c>
      <c r="D44" s="6" t="s">
        <v>47</v>
      </c>
      <c r="E44" s="9">
        <f>Sheet1!N3</f>
        <v>374.27</v>
      </c>
    </row>
    <row r="45" spans="2:5" x14ac:dyDescent="0.25">
      <c r="C45" s="6" t="s">
        <v>83</v>
      </c>
      <c r="D45" s="6" t="s">
        <v>84</v>
      </c>
      <c r="E45" s="9">
        <f>Sheet1!Q3</f>
        <v>117.28</v>
      </c>
    </row>
    <row r="46" spans="2:5" x14ac:dyDescent="0.25">
      <c r="C46" s="6" t="str">
        <f t="shared" ref="C46:D48" si="0">C12</f>
        <v>Cash</v>
      </c>
      <c r="D46" s="6" t="str">
        <f t="shared" si="0"/>
        <v>Cash</v>
      </c>
      <c r="E46" s="9">
        <v>1</v>
      </c>
    </row>
    <row r="47" spans="2:5" x14ac:dyDescent="0.25">
      <c r="C47" s="6" t="str">
        <f t="shared" si="0"/>
        <v>GS</v>
      </c>
      <c r="D47" s="6" t="str">
        <f t="shared" si="0"/>
        <v>C2</v>
      </c>
      <c r="E47" s="9">
        <f t="shared" ref="E47:E48" ca="1" si="1">E13*(1+(0.1*RAND()))</f>
        <v>8.0039202943050043</v>
      </c>
    </row>
    <row r="48" spans="2:5" x14ac:dyDescent="0.25">
      <c r="C48" s="6" t="str">
        <f t="shared" si="0"/>
        <v>GS</v>
      </c>
      <c r="D48" s="6" t="str">
        <f t="shared" si="0"/>
        <v>C3</v>
      </c>
      <c r="E48" s="9">
        <f t="shared" ca="1" si="1"/>
        <v>9.6536255329579603</v>
      </c>
    </row>
    <row r="50" spans="2:25" x14ac:dyDescent="0.25">
      <c r="B50" s="5" t="s">
        <v>20</v>
      </c>
    </row>
    <row r="51" spans="2:25" x14ac:dyDescent="0.25">
      <c r="M51" s="13" t="s">
        <v>21</v>
      </c>
      <c r="N51" s="14"/>
      <c r="O51" s="15"/>
      <c r="Q51" s="13" t="s">
        <v>22</v>
      </c>
      <c r="R51" s="15"/>
      <c r="T51" s="13" t="s">
        <v>23</v>
      </c>
      <c r="U51" s="15"/>
    </row>
    <row r="52" spans="2:25" ht="26.4" x14ac:dyDescent="0.25">
      <c r="C52" s="7" t="s">
        <v>4</v>
      </c>
      <c r="D52" s="7" t="s">
        <v>24</v>
      </c>
      <c r="E52" s="7" t="s">
        <v>25</v>
      </c>
      <c r="F52" s="7" t="s">
        <v>26</v>
      </c>
      <c r="G52" s="7" t="s">
        <v>27</v>
      </c>
      <c r="H52" s="16"/>
      <c r="I52" s="7" t="s">
        <v>28</v>
      </c>
      <c r="J52" s="7" t="s">
        <v>29</v>
      </c>
      <c r="K52" s="7" t="s">
        <v>30</v>
      </c>
      <c r="M52" s="17" t="s">
        <v>31</v>
      </c>
      <c r="N52" s="18" t="s">
        <v>32</v>
      </c>
      <c r="O52" s="19" t="s">
        <v>33</v>
      </c>
      <c r="Q52" s="17" t="s">
        <v>13</v>
      </c>
      <c r="R52" s="19" t="s">
        <v>0</v>
      </c>
      <c r="T52" s="17" t="s">
        <v>13</v>
      </c>
      <c r="U52" s="19" t="s">
        <v>0</v>
      </c>
      <c r="W52" s="7" t="s">
        <v>34</v>
      </c>
      <c r="X52" s="7" t="s">
        <v>35</v>
      </c>
      <c r="Y52" s="7" t="s">
        <v>36</v>
      </c>
    </row>
    <row r="53" spans="2:25" x14ac:dyDescent="0.25">
      <c r="C53" s="6" t="str">
        <f>D40</f>
        <v>SUSB</v>
      </c>
      <c r="D53" s="20">
        <f>IFERROR(INDEX($D$21:$D$23,MATCH(C53,$C$21:$C$23,0)),0)</f>
        <v>0.2</v>
      </c>
      <c r="E53" s="12">
        <f t="shared" ref="E53:E61" si="2">IFERROR(INDEX($F$21:$F$23,MATCH(C53,$C$21:$C$23,0)),0)</f>
        <v>526.82055835105166</v>
      </c>
      <c r="F53" s="12">
        <f t="shared" ref="F53:F61" si="3">E53*E40</f>
        <v>13771.089395296491</v>
      </c>
      <c r="G53" s="20">
        <f t="shared" ref="G53:G61" ca="1" si="4">F53/SUM($F$53:$F$61)</f>
        <v>0.19965439853843114</v>
      </c>
      <c r="I53" s="20">
        <f t="shared" ref="I53:I61" si="5">IFERROR(INDEX($D$33:$D$35,MATCH(C53,$C$33:$C$35,0)),0)</f>
        <v>0.2</v>
      </c>
      <c r="J53" s="12">
        <f ca="1">I53*$F$64</f>
        <v>13814.927130188637</v>
      </c>
      <c r="K53" s="12">
        <f ca="1">J53/E40</f>
        <v>528.49759488097311</v>
      </c>
      <c r="M53" s="21">
        <f ca="1">K53-E53</f>
        <v>1.6770365299214518</v>
      </c>
      <c r="N53" s="22" t="str">
        <f ca="1">IF(M53&gt;0,"BUY",IF(M53&lt;0,"SELL",""))</f>
        <v>BUY</v>
      </c>
      <c r="O53" s="23">
        <f ca="1">M53*E40</f>
        <v>43.837734892146749</v>
      </c>
      <c r="Q53" s="21">
        <f ca="1">ROUNDUP(M53,0)</f>
        <v>2</v>
      </c>
      <c r="R53" s="23">
        <f t="shared" ref="R53:R61" ca="1" si="6">Q53*E40</f>
        <v>52.28</v>
      </c>
      <c r="T53" s="21">
        <f ca="1">Q53-M53</f>
        <v>0.3229634700785482</v>
      </c>
      <c r="U53" s="23">
        <f ca="1">T53*E40</f>
        <v>8.4422651078532507</v>
      </c>
      <c r="W53" s="12">
        <f t="shared" ref="W53:W61" ca="1" si="7">E53+M53</f>
        <v>528.49759488097311</v>
      </c>
      <c r="X53" s="12">
        <f t="shared" ref="X53:X61" ca="1" si="8">W53*E40</f>
        <v>13814.927130188637</v>
      </c>
      <c r="Y53" s="20">
        <f ca="1">X53/$X$62</f>
        <v>0.2</v>
      </c>
    </row>
    <row r="54" spans="2:25" x14ac:dyDescent="0.25">
      <c r="C54" s="6" t="str">
        <f>D41</f>
        <v>SPYX</v>
      </c>
      <c r="D54" s="20">
        <f t="shared" ref="D54:D61" si="9">IFERROR(INDEX($D$21:$D$23,MATCH(C54,$C$21:$C$23,0)),0)</f>
        <v>0.6</v>
      </c>
      <c r="E54" s="12">
        <f t="shared" si="2"/>
        <v>445.98114603043058</v>
      </c>
      <c r="F54" s="12">
        <f t="shared" si="3"/>
        <v>41427.188654766695</v>
      </c>
      <c r="G54" s="20">
        <f t="shared" ca="1" si="4"/>
        <v>0.60061482404075894</v>
      </c>
      <c r="I54" s="20">
        <f t="shared" si="5"/>
        <v>0.6</v>
      </c>
      <c r="J54" s="12">
        <f t="shared" ref="J54:J61" ca="1" si="10">I54*$F$64</f>
        <v>41444.781390565906</v>
      </c>
      <c r="K54" s="12">
        <f t="shared" ref="K54:K61" ca="1" si="11">J54/E41</f>
        <v>446.17053924605347</v>
      </c>
      <c r="M54" s="21">
        <f t="shared" ref="M54:M61" ca="1" si="12">K54-E54</f>
        <v>0.18939321562288569</v>
      </c>
      <c r="N54" s="22" t="str">
        <f t="shared" ref="N54:N61" ca="1" si="13">IF(M54&gt;0,"BUY",IF(M54&lt;0,"SELL",""))</f>
        <v>BUY</v>
      </c>
      <c r="O54" s="23">
        <f t="shared" ref="O54:O61" ca="1" si="14">M54*E41</f>
        <v>17.592735799209851</v>
      </c>
      <c r="Q54" s="21">
        <f t="shared" ref="Q54:Q61" ca="1" si="15">ROUNDUP(M54,0)</f>
        <v>1</v>
      </c>
      <c r="R54" s="23">
        <f t="shared" ca="1" si="6"/>
        <v>92.89</v>
      </c>
      <c r="T54" s="21">
        <f t="shared" ref="T54:T61" ca="1" si="16">Q54-M54</f>
        <v>0.81060678437711431</v>
      </c>
      <c r="U54" s="23">
        <f t="shared" ref="U54:U61" ca="1" si="17">T54*E41</f>
        <v>75.297264200790153</v>
      </c>
      <c r="W54" s="12">
        <f t="shared" ca="1" si="7"/>
        <v>446.17053924605347</v>
      </c>
      <c r="X54" s="12">
        <f t="shared" ca="1" si="8"/>
        <v>41444.781390565906</v>
      </c>
      <c r="Y54" s="20">
        <f t="shared" ref="Y54:Y61" ca="1" si="18">X54/$X$62</f>
        <v>0.6</v>
      </c>
    </row>
    <row r="55" spans="2:25" x14ac:dyDescent="0.25">
      <c r="C55" s="6" t="str">
        <f t="shared" ref="C55:C61" si="19">D42</f>
        <v>JPST</v>
      </c>
      <c r="D55" s="20">
        <f t="shared" si="9"/>
        <v>0</v>
      </c>
      <c r="E55" s="12">
        <f t="shared" si="2"/>
        <v>0</v>
      </c>
      <c r="F55" s="12">
        <f t="shared" si="3"/>
        <v>0</v>
      </c>
      <c r="G55" s="20">
        <f t="shared" ca="1" si="4"/>
        <v>0</v>
      </c>
      <c r="I55" s="20">
        <f t="shared" si="5"/>
        <v>0</v>
      </c>
      <c r="J55" s="12">
        <f t="shared" ca="1" si="10"/>
        <v>0</v>
      </c>
      <c r="K55" s="12">
        <f t="shared" ca="1" si="11"/>
        <v>0</v>
      </c>
      <c r="M55" s="21">
        <f t="shared" ca="1" si="12"/>
        <v>0</v>
      </c>
      <c r="N55" s="22" t="str">
        <f t="shared" ca="1" si="13"/>
        <v/>
      </c>
      <c r="O55" s="23">
        <f t="shared" ca="1" si="14"/>
        <v>0</v>
      </c>
      <c r="Q55" s="21">
        <f t="shared" ca="1" si="15"/>
        <v>0</v>
      </c>
      <c r="R55" s="23">
        <f t="shared" ca="1" si="6"/>
        <v>0</v>
      </c>
      <c r="T55" s="21">
        <f t="shared" ca="1" si="16"/>
        <v>0</v>
      </c>
      <c r="U55" s="23">
        <f t="shared" ca="1" si="17"/>
        <v>0</v>
      </c>
      <c r="W55" s="12">
        <f t="shared" ca="1" si="7"/>
        <v>0</v>
      </c>
      <c r="X55" s="12">
        <f t="shared" ca="1" si="8"/>
        <v>0</v>
      </c>
      <c r="Y55" s="20">
        <f t="shared" ca="1" si="18"/>
        <v>0</v>
      </c>
    </row>
    <row r="56" spans="2:25" x14ac:dyDescent="0.25">
      <c r="C56" s="6" t="str">
        <f t="shared" si="19"/>
        <v>BIL</v>
      </c>
      <c r="D56" s="20">
        <f t="shared" si="9"/>
        <v>0</v>
      </c>
      <c r="E56" s="12">
        <f t="shared" si="2"/>
        <v>0</v>
      </c>
      <c r="F56" s="12">
        <f t="shared" si="3"/>
        <v>0</v>
      </c>
      <c r="G56" s="20">
        <f t="shared" ca="1" si="4"/>
        <v>0</v>
      </c>
      <c r="I56" s="20">
        <f t="shared" si="5"/>
        <v>0</v>
      </c>
      <c r="J56" s="12">
        <f t="shared" ca="1" si="10"/>
        <v>0</v>
      </c>
      <c r="K56" s="12">
        <f t="shared" ca="1" si="11"/>
        <v>0</v>
      </c>
      <c r="M56" s="21">
        <f t="shared" ca="1" si="12"/>
        <v>0</v>
      </c>
      <c r="N56" s="22" t="str">
        <f t="shared" ca="1" si="13"/>
        <v/>
      </c>
      <c r="O56" s="23">
        <f t="shared" ca="1" si="14"/>
        <v>0</v>
      </c>
      <c r="Q56" s="21">
        <f t="shared" ca="1" si="15"/>
        <v>0</v>
      </c>
      <c r="R56" s="23">
        <f t="shared" ca="1" si="6"/>
        <v>0</v>
      </c>
      <c r="T56" s="21">
        <f t="shared" ca="1" si="16"/>
        <v>0</v>
      </c>
      <c r="U56" s="23">
        <f t="shared" ca="1" si="17"/>
        <v>0</v>
      </c>
      <c r="W56" s="12">
        <f t="shared" ca="1" si="7"/>
        <v>0</v>
      </c>
      <c r="X56" s="12">
        <f t="shared" ca="1" si="8"/>
        <v>0</v>
      </c>
      <c r="Y56" s="20">
        <f t="shared" ca="1" si="18"/>
        <v>0</v>
      </c>
    </row>
    <row r="57" spans="2:25" x14ac:dyDescent="0.25">
      <c r="C57" s="6" t="str">
        <f t="shared" si="19"/>
        <v>SPY</v>
      </c>
      <c r="D57" s="20">
        <f t="shared" si="9"/>
        <v>0</v>
      </c>
      <c r="E57" s="12">
        <f t="shared" si="2"/>
        <v>0</v>
      </c>
      <c r="F57" s="12">
        <f t="shared" si="3"/>
        <v>0</v>
      </c>
      <c r="G57" s="20">
        <f t="shared" ca="1" si="4"/>
        <v>0</v>
      </c>
      <c r="I57" s="20">
        <f t="shared" si="5"/>
        <v>0</v>
      </c>
      <c r="J57" s="12">
        <f t="shared" ca="1" si="10"/>
        <v>0</v>
      </c>
      <c r="K57" s="12">
        <f t="shared" ca="1" si="11"/>
        <v>0</v>
      </c>
      <c r="M57" s="21">
        <f t="shared" ca="1" si="12"/>
        <v>0</v>
      </c>
      <c r="N57" s="22" t="str">
        <f t="shared" ca="1" si="13"/>
        <v/>
      </c>
      <c r="O57" s="23">
        <f t="shared" ca="1" si="14"/>
        <v>0</v>
      </c>
      <c r="Q57" s="21">
        <f t="shared" ca="1" si="15"/>
        <v>0</v>
      </c>
      <c r="R57" s="23">
        <f t="shared" ca="1" si="6"/>
        <v>0</v>
      </c>
      <c r="T57" s="21">
        <f t="shared" ca="1" si="16"/>
        <v>0</v>
      </c>
      <c r="U57" s="23">
        <f t="shared" ca="1" si="17"/>
        <v>0</v>
      </c>
      <c r="W57" s="12">
        <f t="shared" ca="1" si="7"/>
        <v>0</v>
      </c>
      <c r="X57" s="12">
        <f t="shared" ca="1" si="8"/>
        <v>0</v>
      </c>
      <c r="Y57" s="20">
        <f t="shared" ca="1" si="18"/>
        <v>0</v>
      </c>
    </row>
    <row r="58" spans="2:25" x14ac:dyDescent="0.25">
      <c r="C58" s="6" t="str">
        <f t="shared" si="19"/>
        <v>AGG</v>
      </c>
      <c r="D58" s="20">
        <f t="shared" si="9"/>
        <v>0</v>
      </c>
      <c r="E58" s="12">
        <f t="shared" si="2"/>
        <v>0</v>
      </c>
      <c r="F58" s="12">
        <f t="shared" si="3"/>
        <v>0</v>
      </c>
      <c r="G58" s="20">
        <f t="shared" ca="1" si="4"/>
        <v>0</v>
      </c>
      <c r="I58" s="20">
        <f t="shared" si="5"/>
        <v>0</v>
      </c>
      <c r="J58" s="12">
        <f t="shared" ca="1" si="10"/>
        <v>0</v>
      </c>
      <c r="K58" s="12">
        <f t="shared" ca="1" si="11"/>
        <v>0</v>
      </c>
      <c r="M58" s="21">
        <f t="shared" ca="1" si="12"/>
        <v>0</v>
      </c>
      <c r="N58" s="22" t="str">
        <f t="shared" ca="1" si="13"/>
        <v/>
      </c>
      <c r="O58" s="23">
        <f t="shared" ca="1" si="14"/>
        <v>0</v>
      </c>
      <c r="Q58" s="21">
        <f t="shared" ca="1" si="15"/>
        <v>0</v>
      </c>
      <c r="R58" s="23">
        <f t="shared" ca="1" si="6"/>
        <v>0</v>
      </c>
      <c r="T58" s="21">
        <f t="shared" ca="1" si="16"/>
        <v>0</v>
      </c>
      <c r="U58" s="23">
        <f t="shared" ca="1" si="17"/>
        <v>0</v>
      </c>
      <c r="W58" s="12">
        <f t="shared" ca="1" si="7"/>
        <v>0</v>
      </c>
      <c r="X58" s="12">
        <f t="shared" ca="1" si="8"/>
        <v>0</v>
      </c>
      <c r="Y58" s="20">
        <f t="shared" ca="1" si="18"/>
        <v>0</v>
      </c>
    </row>
    <row r="59" spans="2:25" x14ac:dyDescent="0.25">
      <c r="C59" s="6" t="str">
        <f t="shared" si="19"/>
        <v>Cash</v>
      </c>
      <c r="D59" s="20">
        <f t="shared" si="9"/>
        <v>0.2</v>
      </c>
      <c r="E59" s="12">
        <f t="shared" si="2"/>
        <v>13776.357600880001</v>
      </c>
      <c r="F59" s="12">
        <f t="shared" si="3"/>
        <v>13776.357600880001</v>
      </c>
      <c r="G59" s="20">
        <f t="shared" ca="1" si="4"/>
        <v>0.19973077742081005</v>
      </c>
      <c r="I59" s="20">
        <f t="shared" si="5"/>
        <v>0.2</v>
      </c>
      <c r="J59" s="12">
        <f t="shared" ca="1" si="10"/>
        <v>13814.927130188637</v>
      </c>
      <c r="K59" s="12">
        <f t="shared" ca="1" si="11"/>
        <v>13814.927130188637</v>
      </c>
      <c r="M59" s="21">
        <f t="shared" ca="1" si="12"/>
        <v>38.569529308635538</v>
      </c>
      <c r="N59" s="22" t="str">
        <f t="shared" ca="1" si="13"/>
        <v>BUY</v>
      </c>
      <c r="O59" s="23">
        <f t="shared" ca="1" si="14"/>
        <v>38.569529308635538</v>
      </c>
      <c r="Q59" s="21">
        <f t="shared" ca="1" si="15"/>
        <v>39</v>
      </c>
      <c r="R59" s="23">
        <f t="shared" ca="1" si="6"/>
        <v>39</v>
      </c>
      <c r="T59" s="21">
        <f t="shared" ca="1" si="16"/>
        <v>0.43047069136446225</v>
      </c>
      <c r="U59" s="23">
        <f t="shared" ca="1" si="17"/>
        <v>0.43047069136446225</v>
      </c>
      <c r="W59" s="12">
        <f t="shared" ca="1" si="7"/>
        <v>13814.927130188637</v>
      </c>
      <c r="X59" s="12">
        <f t="shared" ca="1" si="8"/>
        <v>13814.927130188637</v>
      </c>
      <c r="Y59" s="20">
        <f t="shared" ca="1" si="18"/>
        <v>0.2</v>
      </c>
    </row>
    <row r="60" spans="2:25" x14ac:dyDescent="0.25">
      <c r="C60" s="6" t="str">
        <f t="shared" si="19"/>
        <v>C2</v>
      </c>
      <c r="D60" s="20">
        <f t="shared" si="9"/>
        <v>0</v>
      </c>
      <c r="E60" s="12">
        <f t="shared" si="2"/>
        <v>0</v>
      </c>
      <c r="F60" s="12">
        <f t="shared" ca="1" si="3"/>
        <v>0</v>
      </c>
      <c r="G60" s="20">
        <f t="shared" ca="1" si="4"/>
        <v>0</v>
      </c>
      <c r="I60" s="20">
        <f t="shared" si="5"/>
        <v>0</v>
      </c>
      <c r="J60" s="12">
        <f t="shared" ca="1" si="10"/>
        <v>0</v>
      </c>
      <c r="K60" s="12">
        <f t="shared" ca="1" si="11"/>
        <v>0</v>
      </c>
      <c r="M60" s="21">
        <f t="shared" ca="1" si="12"/>
        <v>0</v>
      </c>
      <c r="N60" s="22" t="str">
        <f t="shared" ca="1" si="13"/>
        <v/>
      </c>
      <c r="O60" s="23">
        <f t="shared" ca="1" si="14"/>
        <v>0</v>
      </c>
      <c r="Q60" s="21">
        <f t="shared" ca="1" si="15"/>
        <v>0</v>
      </c>
      <c r="R60" s="23">
        <f t="shared" ca="1" si="6"/>
        <v>0</v>
      </c>
      <c r="T60" s="21">
        <f t="shared" ca="1" si="16"/>
        <v>0</v>
      </c>
      <c r="U60" s="23">
        <f t="shared" ca="1" si="17"/>
        <v>0</v>
      </c>
      <c r="W60" s="12">
        <f t="shared" ca="1" si="7"/>
        <v>0</v>
      </c>
      <c r="X60" s="12">
        <f t="shared" ca="1" si="8"/>
        <v>0</v>
      </c>
      <c r="Y60" s="20">
        <f t="shared" ca="1" si="18"/>
        <v>0</v>
      </c>
    </row>
    <row r="61" spans="2:25" x14ac:dyDescent="0.25">
      <c r="C61" s="24" t="str">
        <f t="shared" si="19"/>
        <v>C3</v>
      </c>
      <c r="D61" s="25">
        <f t="shared" si="9"/>
        <v>0</v>
      </c>
      <c r="E61" s="26">
        <f t="shared" si="2"/>
        <v>0</v>
      </c>
      <c r="F61" s="26">
        <f t="shared" ca="1" si="3"/>
        <v>0</v>
      </c>
      <c r="G61" s="25">
        <f t="shared" ca="1" si="4"/>
        <v>0</v>
      </c>
      <c r="I61" s="25">
        <f t="shared" si="5"/>
        <v>0</v>
      </c>
      <c r="J61" s="26">
        <f t="shared" ca="1" si="10"/>
        <v>0</v>
      </c>
      <c r="K61" s="26">
        <f t="shared" ca="1" si="11"/>
        <v>0</v>
      </c>
      <c r="M61" s="27">
        <f t="shared" ca="1" si="12"/>
        <v>0</v>
      </c>
      <c r="N61" s="28" t="str">
        <f t="shared" ca="1" si="13"/>
        <v/>
      </c>
      <c r="O61" s="29">
        <f t="shared" ca="1" si="14"/>
        <v>0</v>
      </c>
      <c r="Q61" s="27">
        <f t="shared" ca="1" si="15"/>
        <v>0</v>
      </c>
      <c r="R61" s="29">
        <f t="shared" ca="1" si="6"/>
        <v>0</v>
      </c>
      <c r="T61" s="27">
        <f t="shared" ca="1" si="16"/>
        <v>0</v>
      </c>
      <c r="U61" s="29">
        <f t="shared" ca="1" si="17"/>
        <v>0</v>
      </c>
      <c r="W61" s="12">
        <f t="shared" ca="1" si="7"/>
        <v>0</v>
      </c>
      <c r="X61" s="26">
        <f t="shared" ca="1" si="8"/>
        <v>0</v>
      </c>
      <c r="Y61" s="20">
        <f t="shared" ca="1" si="18"/>
        <v>0</v>
      </c>
    </row>
    <row r="62" spans="2:25" x14ac:dyDescent="0.25">
      <c r="D62" s="20">
        <f>SUM(D53:D61)</f>
        <v>1</v>
      </c>
      <c r="E62" s="12"/>
      <c r="F62" s="12">
        <f ca="1">SUM(F53:F61)</f>
        <v>68974.635650943179</v>
      </c>
      <c r="G62" s="20">
        <f ca="1">SUM(G53:G61)</f>
        <v>1.0000000000000002</v>
      </c>
      <c r="I62" s="20">
        <f>SUM(I53:I61)</f>
        <v>1</v>
      </c>
      <c r="J62" s="12">
        <f ca="1">SUM(J53:J61)</f>
        <v>69074.635650943179</v>
      </c>
      <c r="O62" s="12">
        <f ca="1">SUM(O53:O61)</f>
        <v>99.999999999992141</v>
      </c>
      <c r="R62" s="12">
        <f ca="1">SUM(R53:R61)</f>
        <v>184.17000000000002</v>
      </c>
      <c r="U62" s="12">
        <f ca="1">SUM(U53:U61)</f>
        <v>84.17000000000786</v>
      </c>
      <c r="X62" s="12">
        <f ca="1">SUM(X53:X61)</f>
        <v>69074.635650943179</v>
      </c>
    </row>
    <row r="63" spans="2:25" x14ac:dyDescent="0.25">
      <c r="C63" s="5" t="s">
        <v>37</v>
      </c>
      <c r="F63" s="26">
        <f>$D$28</f>
        <v>100</v>
      </c>
    </row>
    <row r="64" spans="2:25" x14ac:dyDescent="0.25">
      <c r="C64" s="5" t="s">
        <v>38</v>
      </c>
      <c r="F64" s="12">
        <f ca="1">SUM(F62:F63)</f>
        <v>69074.635650943179</v>
      </c>
    </row>
    <row r="66" spans="2:2" x14ac:dyDescent="0.25">
      <c r="B66" s="5" t="s">
        <v>39</v>
      </c>
    </row>
    <row r="67" spans="2:2" x14ac:dyDescent="0.25">
      <c r="B67" s="6" t="s">
        <v>40</v>
      </c>
    </row>
    <row r="68" spans="2:2" x14ac:dyDescent="0.25">
      <c r="B68" s="6" t="s">
        <v>41</v>
      </c>
    </row>
    <row r="69" spans="2:2" x14ac:dyDescent="0.25">
      <c r="B69" s="6" t="s">
        <v>42</v>
      </c>
    </row>
    <row r="72" spans="2:2" x14ac:dyDescent="0.25">
      <c r="B72" s="5" t="s">
        <v>43</v>
      </c>
    </row>
    <row r="73" spans="2:2" x14ac:dyDescent="0.25">
      <c r="B73" s="6" t="s">
        <v>44</v>
      </c>
    </row>
    <row r="74" spans="2:2" x14ac:dyDescent="0.25">
      <c r="B74" s="6" t="s">
        <v>45</v>
      </c>
    </row>
    <row r="75" spans="2:2" x14ac:dyDescent="0.25">
      <c r="B75" s="6" t="s">
        <v>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DB57F-B543-4605-974D-9CC5883466E1}">
  <dimension ref="A1:I2"/>
  <sheetViews>
    <sheetView workbookViewId="0">
      <selection activeCell="I8" sqref="I8"/>
    </sheetView>
  </sheetViews>
  <sheetFormatPr defaultRowHeight="14.4" x14ac:dyDescent="0.3"/>
  <cols>
    <col min="1" max="1" width="17.77734375" customWidth="1"/>
    <col min="2" max="2" width="14.44140625" customWidth="1"/>
    <col min="3" max="3" width="16.88671875" customWidth="1"/>
    <col min="4" max="4" width="17.77734375" customWidth="1"/>
    <col min="5" max="5" width="14.109375" customWidth="1"/>
    <col min="6" max="6" width="16.88671875" customWidth="1"/>
    <col min="7" max="7" width="16.5546875" customWidth="1"/>
    <col min="8" max="8" width="27.33203125" customWidth="1"/>
    <col min="9" max="9" width="23" customWidth="1"/>
  </cols>
  <sheetData>
    <row r="1" spans="1:9" x14ac:dyDescent="0.3">
      <c r="A1" t="s">
        <v>86</v>
      </c>
      <c r="B1" t="s">
        <v>87</v>
      </c>
      <c r="C1" t="s">
        <v>88</v>
      </c>
      <c r="D1" t="s">
        <v>89</v>
      </c>
      <c r="E1" t="s">
        <v>90</v>
      </c>
      <c r="F1" t="s">
        <v>91</v>
      </c>
      <c r="G1" t="s">
        <v>92</v>
      </c>
      <c r="H1" t="s">
        <v>93</v>
      </c>
      <c r="I1" t="s">
        <v>94</v>
      </c>
    </row>
    <row r="2" spans="1:9" x14ac:dyDescent="0.3">
      <c r="A2" s="30">
        <f>Engine!D18</f>
        <v>68881.788004400005</v>
      </c>
      <c r="B2" s="30">
        <f ca="1">Engine!F62</f>
        <v>68974.635650943179</v>
      </c>
      <c r="C2" s="31">
        <f>Engine!D21</f>
        <v>0.2</v>
      </c>
      <c r="D2" s="31">
        <f>Engine!D22</f>
        <v>0.6</v>
      </c>
      <c r="E2" s="31">
        <f>Engine!D23</f>
        <v>0.2</v>
      </c>
      <c r="F2">
        <f>Sheet1!B17</f>
        <v>67145.679999999993</v>
      </c>
      <c r="G2">
        <f>Sheet1!B18</f>
        <v>68881.788004400005</v>
      </c>
      <c r="H2">
        <f>Sheet1!B19</f>
        <v>68061.525014400002</v>
      </c>
      <c r="I2">
        <f>Sheet1!B20</f>
        <v>6200.2659999999996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Engine</vt:lpstr>
      <vt:lpstr>Results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Vikum Warnakula</cp:lastModifiedBy>
  <dcterms:created xsi:type="dcterms:W3CDTF">2011-08-25T14:29:57Z</dcterms:created>
  <dcterms:modified xsi:type="dcterms:W3CDTF">2021-01-18T10:10:14Z</dcterms:modified>
</cp:coreProperties>
</file>